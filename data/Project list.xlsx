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5B29D9DA-DDB2-46D1-B61B-286222CB0E22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Monthly Pay" sheetId="3" r:id="rId1"/>
    <sheet name="Project List" sheetId="1" r:id="rId2"/>
    <sheet name="Mitkat" sheetId="4" r:id="rId3"/>
    <sheet name="Summary" sheetId="2" r:id="rId4"/>
  </sheets>
  <definedNames>
    <definedName name="_xlnm._FilterDatabase" localSheetId="1" hidden="1">'Project List'!$A$1:$J$66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D2" i="2"/>
  <c r="C2" i="2" a="1"/>
  <c r="C2" i="2"/>
  <c r="C16" i="2" a="1"/>
  <c r="C16" i="2"/>
  <c r="F71" i="1"/>
  <c r="L2" i="2"/>
  <c r="F66" i="1"/>
  <c r="A15" i="2"/>
  <c r="A5" i="2"/>
  <c r="F67" i="1"/>
  <c r="A3" i="2"/>
  <c r="C3" i="2" a="1"/>
  <c r="C3" i="2"/>
  <c r="C5" i="2" a="1"/>
  <c r="C5" i="2"/>
  <c r="C15" i="2" a="1"/>
  <c r="C15" i="2" s="1"/>
  <c r="D15" i="2"/>
  <c r="D16" i="2"/>
  <c r="F17" i="1"/>
  <c r="F18" i="1"/>
  <c r="F22" i="1"/>
  <c r="F27" i="1"/>
  <c r="F28" i="1"/>
  <c r="F29" i="1"/>
  <c r="F30" i="1"/>
  <c r="F32" i="1"/>
  <c r="F33" i="1"/>
  <c r="F34" i="1"/>
  <c r="F35" i="1"/>
  <c r="F36" i="1"/>
  <c r="F37" i="1"/>
  <c r="F38" i="1"/>
  <c r="F39" i="1"/>
  <c r="F41" i="1"/>
  <c r="F46" i="1"/>
  <c r="F47" i="1"/>
  <c r="F51" i="1"/>
  <c r="F52" i="1"/>
  <c r="F56" i="1"/>
  <c r="F61" i="1"/>
  <c r="F12" i="1"/>
  <c r="F13" i="1"/>
  <c r="F14" i="1"/>
  <c r="F8" i="1"/>
  <c r="F9" i="1"/>
  <c r="F10" i="1"/>
  <c r="F3" i="1"/>
  <c r="F4" i="1"/>
  <c r="F5" i="1"/>
  <c r="F6" i="1"/>
  <c r="F7" i="1"/>
  <c r="A14" i="2"/>
  <c r="A13" i="2"/>
  <c r="A12" i="2"/>
  <c r="A11" i="2"/>
  <c r="A10" i="2"/>
  <c r="A9" i="2"/>
  <c r="A8" i="2"/>
  <c r="A7" i="2"/>
  <c r="A6" i="2"/>
  <c r="A4" i="2"/>
  <c r="C4" i="2" s="1" a="1"/>
  <c r="C4" i="2" s="1"/>
  <c r="K2" i="2" l="1"/>
  <c r="F2" i="2"/>
  <c r="M2" i="2" s="1"/>
  <c r="D5" i="2"/>
  <c r="D3" i="2"/>
  <c r="D4" i="2"/>
  <c r="C6" i="2" a="1"/>
  <c r="C6" i="2" s="1"/>
  <c r="D6" i="2"/>
  <c r="C7" i="2" a="1"/>
  <c r="C7" i="2" s="1"/>
  <c r="D7" i="2"/>
  <c r="C8" i="2" a="1"/>
  <c r="C8" i="2" s="1"/>
  <c r="D8" i="2"/>
  <c r="C9" i="2" a="1"/>
  <c r="C9" i="2" s="1"/>
  <c r="D9" i="2"/>
  <c r="D10" i="2"/>
  <c r="C10" i="2" a="1"/>
  <c r="C10" i="2" s="1"/>
  <c r="C11" i="2" a="1"/>
  <c r="C11" i="2" s="1"/>
  <c r="D11" i="2"/>
  <c r="C13" i="2" a="1"/>
  <c r="C13" i="2" s="1"/>
  <c r="D13" i="2"/>
  <c r="C14" i="2" a="1"/>
  <c r="C14" i="2" s="1"/>
  <c r="D14" i="2"/>
  <c r="C12" i="2" a="1"/>
  <c r="C12" i="2" s="1"/>
  <c r="D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<sst xmlns="http://schemas.openxmlformats.org/spreadsheetml/2006/main" count="237" uniqueCount="74">
  <si>
    <t>Employee Name</t>
  </si>
  <si>
    <t>Designation</t>
  </si>
  <si>
    <t>Monthly Pay</t>
  </si>
  <si>
    <t>Rupali</t>
  </si>
  <si>
    <t>Parimal</t>
  </si>
  <si>
    <t>Dipansu</t>
  </si>
  <si>
    <t>Hassan</t>
  </si>
  <si>
    <t>Himanshu</t>
  </si>
  <si>
    <t>Biswajeet</t>
  </si>
  <si>
    <t>Sumit</t>
  </si>
  <si>
    <t>Shruti</t>
  </si>
  <si>
    <t>Laxman</t>
  </si>
  <si>
    <t>Faizan</t>
  </si>
  <si>
    <t>Siddhi</t>
  </si>
  <si>
    <t>aayushman</t>
  </si>
  <si>
    <t>Swarup</t>
  </si>
  <si>
    <t>Sanchit</t>
  </si>
  <si>
    <t>Gulab</t>
  </si>
  <si>
    <t xml:space="preserve">Company </t>
  </si>
  <si>
    <t>Project Name</t>
  </si>
  <si>
    <t>Project Lead</t>
  </si>
  <si>
    <t>Testers</t>
  </si>
  <si>
    <t>monthly pay of testers</t>
  </si>
  <si>
    <t>Project Income</t>
  </si>
  <si>
    <t>Start Date</t>
  </si>
  <si>
    <t>End Date</t>
  </si>
  <si>
    <t>Status</t>
  </si>
  <si>
    <t>CSS</t>
  </si>
  <si>
    <t>Encora</t>
  </si>
  <si>
    <t>Web/cloud</t>
  </si>
  <si>
    <t>web Completed, cloud , network, red teaming is pending</t>
  </si>
  <si>
    <t>Network</t>
  </si>
  <si>
    <t>Revalidation</t>
  </si>
  <si>
    <t>Mitkat</t>
  </si>
  <si>
    <t>RXIL</t>
  </si>
  <si>
    <t>Fintech, ITFS</t>
  </si>
  <si>
    <t>Lumina</t>
  </si>
  <si>
    <t xml:space="preserve">       </t>
  </si>
  <si>
    <t>LVP</t>
  </si>
  <si>
    <t>Advantage go</t>
  </si>
  <si>
    <t>revalidation on hold by sarvesh sir</t>
  </si>
  <si>
    <t>UNO Ai</t>
  </si>
  <si>
    <t xml:space="preserve">Revalidation </t>
  </si>
  <si>
    <t>Decklar</t>
  </si>
  <si>
    <t>honeycomb, radar, hive,API</t>
  </si>
  <si>
    <t>revalidation</t>
  </si>
  <si>
    <t>Mehery</t>
  </si>
  <si>
    <t>Blackbox testing</t>
  </si>
  <si>
    <t>Annadarpan phase 2</t>
  </si>
  <si>
    <t>revalidation (application, cloud)</t>
  </si>
  <si>
    <t>Arjas Steel</t>
  </si>
  <si>
    <t>Policy making</t>
  </si>
  <si>
    <t>Aayushman</t>
  </si>
  <si>
    <t>ASG</t>
  </si>
  <si>
    <t>contract renewal</t>
  </si>
  <si>
    <t>Jio Blackrock</t>
  </si>
  <si>
    <t>Paraviste</t>
  </si>
  <si>
    <t>Arjas SAP VAPT</t>
  </si>
  <si>
    <t>Venture</t>
  </si>
  <si>
    <t xml:space="preserve">Project Lead </t>
  </si>
  <si>
    <t>Biswajeet ray</t>
  </si>
  <si>
    <t>CKYC source code revalidation has been completed                                                                                                                                                                                                                 Udyem bharat source code                                                                                                                                                                                                                 KSEB source code report is under preparation                                                                                                                                                                               ITFS application completed                                                                                                                                                                                                                       Fintech is pending from client</t>
  </si>
  <si>
    <t>Router audit is done
Web application done
Server ip done
Pending:- Access point, firewall</t>
  </si>
  <si>
    <t>Pending:-   Ip range
Switches and routers
Ids/ips
Access point in progress
Firewall in progress</t>
  </si>
  <si>
    <t>Push app is done                                                                                                                smart conversation is pending from client side
Blackbox in progress
Greybox pending from client side</t>
  </si>
  <si>
    <t>Hashconnect</t>
  </si>
  <si>
    <t>Revalidation not fixed from client side</t>
  </si>
  <si>
    <t>Avanse</t>
  </si>
  <si>
    <t>Paused waiting for inderjeet</t>
  </si>
  <si>
    <t xml:space="preserve">Revalidation  </t>
  </si>
  <si>
    <t>Company</t>
  </si>
  <si>
    <t>Income (₹)</t>
  </si>
  <si>
    <t>Gross Profit (₹)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</si>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</sst>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1"/>
      <color rgb="FF000000"/>
      <name val="Segoe UI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2D3D"/>
        <bgColor rgb="FF003366"/>
      </patternFill>
    </fill>
    <fill>
      <patternFill patternType="solid">
        <fgColor rgb="FFD6E4F7"/>
        <bgColor rgb="FFEBF5FB"/>
      </patternFill>
    </fill>
    <fill>
      <patternFill patternType="solid">
        <fgColor rgb="FFF2F6F9"/>
        <bgColor rgb="FFF2F6F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2" xfId="0" applyBorder="1"/>
    <xf numFmtId="0" fontId="1" fillId="0" borderId="2" xfId="0" applyFont="1" applyBorder="1"/>
    <xf numFmtId="14" fontId="0" fillId="0" borderId="2" xfId="0" applyNumberFormat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6" xfId="0" quotePrefix="1" applyFont="1" applyFill="1" applyBorder="1"/>
    <xf numFmtId="10" fontId="6" fillId="4" borderId="6" xfId="0" applyNumberFormat="1" applyFont="1" applyFill="1" applyBorder="1"/>
    <xf numFmtId="0" fontId="6" fillId="4" borderId="5" xfId="0" applyFont="1" applyFill="1" applyBorder="1" applyAlignment="1">
      <alignment wrapText="1"/>
    </xf>
    <xf numFmtId="0" fontId="7" fillId="5" borderId="7" xfId="0" applyFont="1" applyFill="1" applyBorder="1"/>
    <xf numFmtId="0" fontId="7" fillId="0" borderId="8" xfId="0" applyFont="1" applyBorder="1"/>
    <xf numFmtId="0" fontId="7" fillId="5" borderId="8" xfId="0" applyFont="1" applyFill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1" fillId="0" borderId="12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2" xfId="0" applyFont="1" applyBorder="1"/>
    <xf numFmtId="0" fontId="9" fillId="0" borderId="1" xfId="0" applyFont="1" applyBorder="1"/>
    <xf numFmtId="0" fontId="10" fillId="0" borderId="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FC9D-9D39-4B76-81C9-03C9DEA48A0D}">
  <dimension ref="A1:C16"/>
  <sheetViews>
    <sheetView workbookViewId="0">
      <selection activeCell="C2" sqref="C2:C16"/>
    </sheetView>
  </sheetViews>
  <sheetFormatPr defaultRowHeight="15"/>
  <cols>
    <col min="1" max="1" width="28.5703125" customWidth="1"/>
    <col min="2" max="2" width="28.140625" customWidth="1"/>
    <col min="3" max="3" width="15" customWidth="1"/>
  </cols>
  <sheetData>
    <row r="1" spans="1:3">
      <c r="A1" s="4" t="s">
        <v>0</v>
      </c>
      <c r="B1" s="4" t="s">
        <v>1</v>
      </c>
      <c r="C1" s="6" t="s">
        <v>2</v>
      </c>
    </row>
    <row r="2" spans="1:3">
      <c r="A2" s="3" t="s">
        <v>3</v>
      </c>
      <c r="B2" s="1"/>
      <c r="C2" s="1">
        <v>30000</v>
      </c>
    </row>
    <row r="3" spans="1:3">
      <c r="A3" s="3" t="s">
        <v>4</v>
      </c>
      <c r="B3" s="1"/>
      <c r="C3" s="1">
        <v>30000</v>
      </c>
    </row>
    <row r="4" spans="1:3">
      <c r="A4" s="3" t="s">
        <v>5</v>
      </c>
      <c r="B4" s="1"/>
      <c r="C4" s="1">
        <v>15000</v>
      </c>
    </row>
    <row r="5" spans="1:3">
      <c r="A5" s="3" t="s">
        <v>6</v>
      </c>
      <c r="B5" s="1"/>
      <c r="C5" s="1">
        <v>10000</v>
      </c>
    </row>
    <row r="6" spans="1:3">
      <c r="A6" s="3" t="s">
        <v>7</v>
      </c>
      <c r="B6" s="1"/>
      <c r="C6" s="1">
        <v>8500</v>
      </c>
    </row>
    <row r="7" spans="1:3">
      <c r="A7" s="3" t="s">
        <v>8</v>
      </c>
      <c r="B7" s="1"/>
      <c r="C7" s="1">
        <v>45000</v>
      </c>
    </row>
    <row r="8" spans="1:3">
      <c r="A8" s="3" t="s">
        <v>9</v>
      </c>
      <c r="B8" s="1"/>
      <c r="C8" s="1">
        <v>45000</v>
      </c>
    </row>
    <row r="9" spans="1:3">
      <c r="A9" s="3" t="s">
        <v>10</v>
      </c>
      <c r="B9" s="1"/>
      <c r="C9" s="1">
        <v>25000</v>
      </c>
    </row>
    <row r="10" spans="1:3">
      <c r="A10" s="3" t="s">
        <v>11</v>
      </c>
      <c r="B10" s="1"/>
      <c r="C10" s="1">
        <v>15000</v>
      </c>
    </row>
    <row r="11" spans="1:3">
      <c r="A11" s="3" t="s">
        <v>12</v>
      </c>
      <c r="B11" s="1"/>
      <c r="C11" s="1">
        <v>8500</v>
      </c>
    </row>
    <row r="12" spans="1:3">
      <c r="A12" s="3" t="s">
        <v>13</v>
      </c>
      <c r="B12" s="1"/>
      <c r="C12" s="1">
        <v>0</v>
      </c>
    </row>
    <row r="13" spans="1:3">
      <c r="A13" s="1" t="s">
        <v>14</v>
      </c>
      <c r="B13" s="1"/>
      <c r="C13" s="1">
        <v>8500</v>
      </c>
    </row>
    <row r="14" spans="1:3">
      <c r="A14" s="1" t="s">
        <v>15</v>
      </c>
      <c r="B14" s="1"/>
      <c r="C14" s="1">
        <v>15000</v>
      </c>
    </row>
    <row r="15" spans="1:3">
      <c r="A15" s="8" t="s">
        <v>16</v>
      </c>
      <c r="B15" s="8"/>
      <c r="C15" s="8">
        <v>30000</v>
      </c>
    </row>
    <row r="16" spans="1:3">
      <c r="A16" s="1" t="s">
        <v>17</v>
      </c>
      <c r="B16" s="1"/>
      <c r="C16" s="1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workbookViewId="0">
      <selection activeCell="J3" sqref="J3"/>
    </sheetView>
  </sheetViews>
  <sheetFormatPr defaultRowHeight="15"/>
  <cols>
    <col min="1" max="1" width="16.42578125" bestFit="1" customWidth="1"/>
    <col min="2" max="2" width="19.42578125" bestFit="1" customWidth="1"/>
    <col min="3" max="3" width="22.28515625" bestFit="1" customWidth="1"/>
    <col min="4" max="7" width="22.28515625" customWidth="1"/>
    <col min="8" max="8" width="10.42578125" bestFit="1" customWidth="1"/>
    <col min="9" max="9" width="13.85546875" bestFit="1" customWidth="1"/>
    <col min="10" max="10" width="51" customWidth="1"/>
  </cols>
  <sheetData>
    <row r="1" spans="1:10" ht="34.5" customHeight="1">
      <c r="A1" s="4" t="s">
        <v>18</v>
      </c>
      <c r="B1" s="4" t="s">
        <v>19</v>
      </c>
      <c r="C1" s="5"/>
      <c r="D1" s="6" t="s">
        <v>20</v>
      </c>
      <c r="E1" s="6" t="s">
        <v>21</v>
      </c>
      <c r="F1" s="6" t="s">
        <v>22</v>
      </c>
      <c r="G1" s="6" t="s">
        <v>23</v>
      </c>
      <c r="H1" s="4" t="s">
        <v>24</v>
      </c>
      <c r="I1" s="4" t="s">
        <v>25</v>
      </c>
      <c r="J1" s="4" t="s">
        <v>26</v>
      </c>
    </row>
    <row r="2" spans="1:10">
      <c r="A2" s="1" t="s">
        <v>27</v>
      </c>
      <c r="B2" s="1" t="s">
        <v>28</v>
      </c>
      <c r="C2" s="1" t="s">
        <v>29</v>
      </c>
      <c r="D2" s="3" t="s">
        <v>3</v>
      </c>
      <c r="E2" s="3" t="s">
        <v>3</v>
      </c>
      <c r="F2" s="3">
        <f>_xlfn.XLOOKUP(E2,'Monthly Pay'!A:A,'Monthly Pay'!C:C)</f>
        <v>30000</v>
      </c>
      <c r="G2" s="3">
        <v>200000</v>
      </c>
      <c r="H2" s="2">
        <v>46054</v>
      </c>
      <c r="I2" s="2">
        <v>46185</v>
      </c>
      <c r="J2" s="1" t="s">
        <v>30</v>
      </c>
    </row>
    <row r="3" spans="1:10">
      <c r="A3" s="1"/>
      <c r="B3" s="25" t="s">
        <v>28</v>
      </c>
      <c r="C3" s="1" t="s">
        <v>31</v>
      </c>
      <c r="D3" s="3"/>
      <c r="E3" s="3" t="s">
        <v>4</v>
      </c>
      <c r="F3" s="3">
        <f>_xlfn.XLOOKUP(E3,'Monthly Pay'!A:A,'Monthly Pay'!C:C)</f>
        <v>30000</v>
      </c>
      <c r="G3" s="3"/>
      <c r="H3" s="2">
        <v>46054</v>
      </c>
      <c r="I3" s="2">
        <v>46203</v>
      </c>
      <c r="J3" s="1" t="s">
        <v>32</v>
      </c>
    </row>
    <row r="4" spans="1:10">
      <c r="A4" s="1"/>
      <c r="B4" s="25" t="s">
        <v>28</v>
      </c>
      <c r="C4" s="1"/>
      <c r="D4" s="3"/>
      <c r="E4" s="3" t="s">
        <v>5</v>
      </c>
      <c r="F4" s="3">
        <f>_xlfn.XLOOKUP(E4,'Monthly Pay'!A:A,'Monthly Pay'!C:C)</f>
        <v>15000</v>
      </c>
      <c r="G4" s="3"/>
      <c r="H4" s="2"/>
      <c r="I4" s="2"/>
      <c r="J4" s="1"/>
    </row>
    <row r="5" spans="1:10">
      <c r="A5" s="1"/>
      <c r="B5" s="25" t="s">
        <v>28</v>
      </c>
      <c r="C5" s="1"/>
      <c r="D5" s="3"/>
      <c r="E5" s="3" t="s">
        <v>6</v>
      </c>
      <c r="F5" s="3">
        <f>_xlfn.XLOOKUP(E5,'Monthly Pay'!A:A,'Monthly Pay'!C:C)</f>
        <v>10000</v>
      </c>
      <c r="G5" s="3"/>
      <c r="H5" s="2"/>
      <c r="I5" s="2"/>
      <c r="J5" s="1"/>
    </row>
    <row r="6" spans="1:10">
      <c r="A6" s="1"/>
      <c r="B6" s="25" t="s">
        <v>28</v>
      </c>
      <c r="C6" s="1"/>
      <c r="D6" s="3"/>
      <c r="E6" s="3" t="s">
        <v>7</v>
      </c>
      <c r="F6" s="3">
        <f>_xlfn.XLOOKUP(E6,'Monthly Pay'!A:A,'Monthly Pay'!C:C)</f>
        <v>8500</v>
      </c>
      <c r="G6" s="3"/>
      <c r="H6" s="2"/>
      <c r="I6" s="2"/>
      <c r="J6" s="1"/>
    </row>
    <row r="7" spans="1:10">
      <c r="A7" s="1" t="s">
        <v>33</v>
      </c>
      <c r="B7" s="1" t="s">
        <v>34</v>
      </c>
      <c r="C7" s="1" t="s">
        <v>35</v>
      </c>
      <c r="D7" s="3" t="s">
        <v>8</v>
      </c>
      <c r="E7" s="3" t="s">
        <v>8</v>
      </c>
      <c r="F7" s="3">
        <f>_xlfn.XLOOKUP(E7,'Monthly Pay'!A:A,'Monthly Pay'!C:C)</f>
        <v>45000</v>
      </c>
      <c r="G7" s="3"/>
      <c r="H7" s="1"/>
      <c r="I7" s="1"/>
      <c r="J7" s="1"/>
    </row>
    <row r="8" spans="1:10">
      <c r="A8" s="1"/>
      <c r="B8" s="25" t="s">
        <v>34</v>
      </c>
      <c r="C8" s="1"/>
      <c r="D8" s="3"/>
      <c r="E8" s="3" t="s">
        <v>10</v>
      </c>
      <c r="F8" s="3">
        <f>_xlfn.XLOOKUP(E8,'Monthly Pay'!A:A,'Monthly Pay'!C:C)</f>
        <v>25000</v>
      </c>
      <c r="G8" s="3"/>
      <c r="H8" s="1"/>
      <c r="I8" s="1"/>
      <c r="J8" s="1"/>
    </row>
    <row r="9" spans="1:10">
      <c r="A9" s="1"/>
      <c r="B9" s="25" t="s">
        <v>34</v>
      </c>
      <c r="C9" s="1"/>
      <c r="D9" s="3"/>
      <c r="E9" s="3" t="s">
        <v>11</v>
      </c>
      <c r="F9" s="3">
        <f>_xlfn.XLOOKUP(E9,'Monthly Pay'!A:A,'Monthly Pay'!C:C)</f>
        <v>15000</v>
      </c>
      <c r="G9" s="3"/>
      <c r="H9" s="1"/>
      <c r="I9" s="1"/>
      <c r="J9" s="1"/>
    </row>
    <row r="10" spans="1:10">
      <c r="A10" s="1"/>
      <c r="B10" s="25" t="s">
        <v>34</v>
      </c>
      <c r="C10" s="1"/>
      <c r="D10" s="3"/>
      <c r="E10" s="3" t="s">
        <v>12</v>
      </c>
      <c r="F10" s="3">
        <f>_xlfn.XLOOKUP(E10,'Monthly Pay'!A:A,'Monthly Pay'!C:C)</f>
        <v>8500</v>
      </c>
      <c r="G10" s="3"/>
      <c r="H10" s="1"/>
      <c r="I10" s="1"/>
      <c r="J10" s="1"/>
    </row>
    <row r="11" spans="1:10">
      <c r="A11" s="1"/>
      <c r="B11" s="25" t="s">
        <v>34</v>
      </c>
      <c r="C11" s="1"/>
      <c r="D11" s="3"/>
      <c r="E11" s="3" t="s">
        <v>13</v>
      </c>
      <c r="F11" s="3"/>
      <c r="G11" s="3"/>
      <c r="H11" s="1"/>
      <c r="I11" s="1"/>
      <c r="J11" s="1"/>
    </row>
    <row r="12" spans="1:10">
      <c r="A12" s="1" t="s">
        <v>33</v>
      </c>
      <c r="B12" s="1" t="s">
        <v>36</v>
      </c>
      <c r="C12" s="2"/>
      <c r="D12" s="3" t="s">
        <v>8</v>
      </c>
      <c r="E12" s="3" t="s">
        <v>8</v>
      </c>
      <c r="F12" s="3">
        <f>_xlfn.XLOOKUP(E12,'Monthly Pay'!A:A,'Monthly Pay'!C:C)</f>
        <v>45000</v>
      </c>
      <c r="G12" s="3"/>
      <c r="H12" s="2">
        <v>45931</v>
      </c>
      <c r="I12" s="1"/>
      <c r="J12" s="1"/>
    </row>
    <row r="13" spans="1:10">
      <c r="A13" s="1"/>
      <c r="B13" s="25" t="s">
        <v>36</v>
      </c>
      <c r="C13" s="2"/>
      <c r="D13" s="3"/>
      <c r="E13" s="3" t="s">
        <v>16</v>
      </c>
      <c r="F13" s="3">
        <f>_xlfn.XLOOKUP(E13,'Monthly Pay'!A:A,'Monthly Pay'!C:C)</f>
        <v>30000</v>
      </c>
      <c r="G13" s="3"/>
      <c r="H13" s="2"/>
      <c r="I13" s="1"/>
      <c r="J13" s="1"/>
    </row>
    <row r="14" spans="1:10">
      <c r="A14" s="1"/>
      <c r="B14" s="25" t="s">
        <v>36</v>
      </c>
      <c r="C14" s="2"/>
      <c r="D14" s="3"/>
      <c r="E14" s="3" t="s">
        <v>4</v>
      </c>
      <c r="F14" s="3">
        <f>_xlfn.XLOOKUP(E14,'Monthly Pay'!A:A,'Monthly Pay'!C:C)</f>
        <v>30000</v>
      </c>
      <c r="G14" s="3"/>
      <c r="H14" s="2"/>
      <c r="I14" s="1"/>
      <c r="J14" s="1"/>
    </row>
    <row r="15" spans="1:10">
      <c r="A15" s="1"/>
      <c r="B15" s="25" t="s">
        <v>36</v>
      </c>
      <c r="C15" s="2"/>
      <c r="D15" s="3"/>
      <c r="E15" s="3"/>
      <c r="F15" s="3" t="s">
        <v>37</v>
      </c>
      <c r="G15" s="3"/>
      <c r="H15" s="2"/>
      <c r="I15" s="1"/>
      <c r="J15" s="1"/>
    </row>
    <row r="16" spans="1:10">
      <c r="A16" s="1"/>
      <c r="B16" s="25" t="s">
        <v>36</v>
      </c>
      <c r="C16" s="2"/>
      <c r="D16" s="3"/>
      <c r="E16" s="3"/>
      <c r="F16" s="3"/>
      <c r="G16" s="3"/>
      <c r="H16" s="2"/>
      <c r="I16" s="1"/>
      <c r="J16" s="1"/>
    </row>
    <row r="17" spans="1:10">
      <c r="A17" s="1" t="s">
        <v>33</v>
      </c>
      <c r="B17" s="1" t="s">
        <v>38</v>
      </c>
      <c r="C17" s="2"/>
      <c r="D17" s="3" t="s">
        <v>8</v>
      </c>
      <c r="E17" s="3" t="s">
        <v>8</v>
      </c>
      <c r="F17" s="3">
        <f>_xlfn.XLOOKUP(E17,'Monthly Pay'!A:A,'Monthly Pay'!C:C)</f>
        <v>45000</v>
      </c>
      <c r="G17" s="3"/>
      <c r="H17" s="2">
        <v>46174</v>
      </c>
      <c r="I17" s="1"/>
      <c r="J17" s="1"/>
    </row>
    <row r="18" spans="1:10">
      <c r="A18" s="1"/>
      <c r="B18" s="25" t="s">
        <v>38</v>
      </c>
      <c r="C18" s="2"/>
      <c r="D18" s="3"/>
      <c r="E18" s="3" t="s">
        <v>4</v>
      </c>
      <c r="F18" s="3">
        <f>_xlfn.XLOOKUP(E18,'Monthly Pay'!A:A,'Monthly Pay'!C:C)</f>
        <v>30000</v>
      </c>
      <c r="G18" s="3"/>
      <c r="H18" s="2"/>
      <c r="I18" s="1"/>
      <c r="J18" s="1"/>
    </row>
    <row r="19" spans="1:10">
      <c r="A19" s="1"/>
      <c r="B19" s="25" t="s">
        <v>38</v>
      </c>
      <c r="C19" s="2"/>
      <c r="D19" s="3"/>
      <c r="E19" s="3"/>
      <c r="F19" s="3"/>
      <c r="G19" s="3"/>
      <c r="H19" s="2"/>
      <c r="I19" s="1"/>
      <c r="J19" s="1"/>
    </row>
    <row r="20" spans="1:10">
      <c r="A20" s="1"/>
      <c r="B20" s="25" t="s">
        <v>38</v>
      </c>
      <c r="C20" s="2"/>
      <c r="D20" s="3"/>
      <c r="E20" s="3"/>
      <c r="F20" s="3"/>
      <c r="G20" s="3"/>
      <c r="H20" s="2"/>
      <c r="I20" s="1"/>
      <c r="J20" s="1"/>
    </row>
    <row r="21" spans="1:10">
      <c r="A21" s="1"/>
      <c r="B21" s="25" t="s">
        <v>38</v>
      </c>
      <c r="C21" s="2"/>
      <c r="D21" s="3"/>
      <c r="E21" s="3"/>
      <c r="F21" s="3"/>
      <c r="G21" s="3"/>
      <c r="H21" s="2"/>
      <c r="I21" s="1"/>
      <c r="J21" s="1"/>
    </row>
    <row r="22" spans="1:10">
      <c r="A22" s="1" t="s">
        <v>27</v>
      </c>
      <c r="B22" s="1" t="s">
        <v>39</v>
      </c>
      <c r="C22" s="1"/>
      <c r="D22" s="3" t="s">
        <v>3</v>
      </c>
      <c r="E22" s="3" t="s">
        <v>3</v>
      </c>
      <c r="F22" s="3">
        <f>_xlfn.XLOOKUP(E22,'Monthly Pay'!A:A,'Monthly Pay'!C:C)</f>
        <v>30000</v>
      </c>
      <c r="G22" s="3"/>
      <c r="H22" s="2">
        <v>46149</v>
      </c>
      <c r="I22" s="2">
        <v>46175</v>
      </c>
      <c r="J22" s="1" t="s">
        <v>40</v>
      </c>
    </row>
    <row r="23" spans="1:10">
      <c r="A23" s="1"/>
      <c r="B23" s="25" t="s">
        <v>39</v>
      </c>
      <c r="C23" s="1"/>
      <c r="D23" s="3"/>
      <c r="E23" s="3"/>
      <c r="F23" s="3"/>
      <c r="G23" s="3"/>
      <c r="H23" s="2"/>
      <c r="I23" s="2"/>
      <c r="J23" s="1"/>
    </row>
    <row r="24" spans="1:10">
      <c r="A24" s="1"/>
      <c r="B24" s="25" t="s">
        <v>39</v>
      </c>
      <c r="C24" s="1"/>
      <c r="D24" s="3"/>
      <c r="E24" s="3"/>
      <c r="F24" s="3"/>
      <c r="G24" s="3"/>
      <c r="H24" s="2"/>
      <c r="I24" s="2"/>
      <c r="J24" s="1"/>
    </row>
    <row r="25" spans="1:10">
      <c r="A25" s="1"/>
      <c r="B25" s="25" t="s">
        <v>39</v>
      </c>
      <c r="C25" s="1"/>
      <c r="D25" s="3"/>
      <c r="E25" s="3"/>
      <c r="F25" s="3"/>
      <c r="G25" s="3"/>
      <c r="H25" s="2"/>
      <c r="I25" s="2"/>
      <c r="J25" s="1"/>
    </row>
    <row r="26" spans="1:10">
      <c r="A26" s="1"/>
      <c r="B26" s="25" t="s">
        <v>39</v>
      </c>
      <c r="C26" s="1"/>
      <c r="D26" s="3"/>
      <c r="E26" s="3"/>
      <c r="F26" s="3"/>
      <c r="G26" s="3"/>
      <c r="H26" s="2"/>
      <c r="I26" s="2"/>
      <c r="J26" s="1"/>
    </row>
    <row r="27" spans="1:10">
      <c r="A27" s="1" t="s">
        <v>27</v>
      </c>
      <c r="B27" s="1" t="s">
        <v>41</v>
      </c>
      <c r="C27" s="1"/>
      <c r="D27" s="9" t="s">
        <v>3</v>
      </c>
      <c r="E27" s="9" t="s">
        <v>3</v>
      </c>
      <c r="F27" s="3">
        <f>_xlfn.XLOOKUP(E27,'Monthly Pay'!A:A,'Monthly Pay'!C:C)</f>
        <v>30000</v>
      </c>
      <c r="G27" s="3"/>
      <c r="H27" s="2">
        <v>46149</v>
      </c>
      <c r="I27" s="2">
        <v>46170</v>
      </c>
      <c r="J27" s="1" t="s">
        <v>42</v>
      </c>
    </row>
    <row r="28" spans="1:10">
      <c r="A28" s="1"/>
      <c r="B28" s="25" t="s">
        <v>41</v>
      </c>
      <c r="C28" s="19"/>
      <c r="D28" s="1"/>
      <c r="E28" s="20" t="s">
        <v>5</v>
      </c>
      <c r="F28" s="3">
        <f>_xlfn.XLOOKUP(E28,'Monthly Pay'!A:A,'Monthly Pay'!C:C)</f>
        <v>15000</v>
      </c>
      <c r="G28" s="3"/>
      <c r="H28" s="2"/>
      <c r="I28" s="2"/>
      <c r="J28" s="1"/>
    </row>
    <row r="29" spans="1:10">
      <c r="A29" s="1"/>
      <c r="B29" s="25" t="s">
        <v>41</v>
      </c>
      <c r="C29" s="19"/>
      <c r="D29" s="1"/>
      <c r="E29" s="20" t="s">
        <v>6</v>
      </c>
      <c r="F29" s="3">
        <f>_xlfn.XLOOKUP(E29,'Monthly Pay'!A:A,'Monthly Pay'!C:C)</f>
        <v>10000</v>
      </c>
      <c r="G29" s="3"/>
      <c r="H29" s="2"/>
      <c r="I29" s="2"/>
      <c r="J29" s="1"/>
    </row>
    <row r="30" spans="1:10">
      <c r="A30" s="1"/>
      <c r="B30" s="25" t="s">
        <v>41</v>
      </c>
      <c r="C30" s="19"/>
      <c r="D30" s="1"/>
      <c r="E30" s="20" t="s">
        <v>17</v>
      </c>
      <c r="F30" s="3">
        <f>_xlfn.XLOOKUP(E30,'Monthly Pay'!A:A,'Monthly Pay'!C:C)</f>
        <v>35000</v>
      </c>
      <c r="G30" s="3"/>
      <c r="H30" s="2"/>
      <c r="I30" s="2"/>
      <c r="J30" s="1"/>
    </row>
    <row r="31" spans="1:10">
      <c r="A31" s="1"/>
      <c r="B31" s="25" t="s">
        <v>41</v>
      </c>
      <c r="C31" s="19"/>
      <c r="D31" s="8"/>
      <c r="E31" s="20"/>
      <c r="F31" s="3"/>
      <c r="G31" s="3"/>
      <c r="H31" s="2"/>
      <c r="I31" s="2"/>
      <c r="J31" s="1"/>
    </row>
    <row r="32" spans="1:10">
      <c r="A32" s="1" t="s">
        <v>27</v>
      </c>
      <c r="B32" s="1" t="s">
        <v>43</v>
      </c>
      <c r="C32" s="19" t="s">
        <v>44</v>
      </c>
      <c r="D32" s="3" t="s">
        <v>4</v>
      </c>
      <c r="E32" s="3" t="s">
        <v>4</v>
      </c>
      <c r="F32" s="3">
        <f>_xlfn.XLOOKUP(E32,'Monthly Pay'!A:A,'Monthly Pay'!C:C)</f>
        <v>30000</v>
      </c>
      <c r="G32" s="3"/>
      <c r="H32" s="2">
        <v>46160</v>
      </c>
      <c r="I32" s="2"/>
      <c r="J32" s="1" t="s">
        <v>45</v>
      </c>
    </row>
    <row r="33" spans="1:10">
      <c r="A33" s="1"/>
      <c r="B33" s="25" t="s">
        <v>43</v>
      </c>
      <c r="C33" s="19"/>
      <c r="D33" s="1"/>
      <c r="E33" s="20" t="s">
        <v>11</v>
      </c>
      <c r="F33" s="3">
        <f>_xlfn.XLOOKUP(E33,'Monthly Pay'!A:A,'Monthly Pay'!C:C)</f>
        <v>15000</v>
      </c>
      <c r="G33" s="3"/>
      <c r="H33" s="2"/>
      <c r="I33" s="2"/>
      <c r="J33" s="1"/>
    </row>
    <row r="34" spans="1:10">
      <c r="A34" s="1"/>
      <c r="B34" s="25" t="s">
        <v>43</v>
      </c>
      <c r="C34" s="19"/>
      <c r="D34" s="1"/>
      <c r="E34" s="20" t="s">
        <v>17</v>
      </c>
      <c r="F34" s="3">
        <f>_xlfn.XLOOKUP(E34,'Monthly Pay'!A:A,'Monthly Pay'!C:C)</f>
        <v>35000</v>
      </c>
      <c r="G34" s="3"/>
      <c r="H34" s="2"/>
      <c r="I34" s="2"/>
      <c r="J34" s="1"/>
    </row>
    <row r="35" spans="1:10">
      <c r="A35" s="1"/>
      <c r="B35" s="25" t="s">
        <v>43</v>
      </c>
      <c r="C35" s="19"/>
      <c r="D35" s="1"/>
      <c r="E35" s="20" t="s">
        <v>7</v>
      </c>
      <c r="F35" s="3">
        <f>_xlfn.XLOOKUP(E35,'Monthly Pay'!A:A,'Monthly Pay'!C:C)</f>
        <v>8500</v>
      </c>
      <c r="G35" s="3"/>
      <c r="H35" s="2"/>
      <c r="I35" s="2"/>
      <c r="J35" s="1"/>
    </row>
    <row r="36" spans="1:10">
      <c r="A36" s="1" t="s">
        <v>33</v>
      </c>
      <c r="B36" s="1" t="s">
        <v>46</v>
      </c>
      <c r="C36" s="19"/>
      <c r="D36" s="3" t="s">
        <v>8</v>
      </c>
      <c r="E36" s="3" t="s">
        <v>8</v>
      </c>
      <c r="F36" s="3">
        <f>_xlfn.XLOOKUP(E36,'Monthly Pay'!A:A,'Monthly Pay'!C:C)</f>
        <v>45000</v>
      </c>
      <c r="G36" s="3"/>
      <c r="H36" s="2">
        <v>46174</v>
      </c>
      <c r="I36" s="1"/>
      <c r="J36" s="1" t="s">
        <v>47</v>
      </c>
    </row>
    <row r="37" spans="1:10">
      <c r="A37" s="1"/>
      <c r="B37" s="25" t="s">
        <v>46</v>
      </c>
      <c r="C37" s="19"/>
      <c r="D37" s="1"/>
      <c r="E37" s="20" t="s">
        <v>17</v>
      </c>
      <c r="F37" s="3">
        <f>_xlfn.XLOOKUP(E37,'Monthly Pay'!A:A,'Monthly Pay'!C:C)</f>
        <v>35000</v>
      </c>
      <c r="G37" s="3"/>
      <c r="H37" s="2"/>
      <c r="I37" s="1"/>
      <c r="J37" s="1"/>
    </row>
    <row r="38" spans="1:10">
      <c r="A38" s="1"/>
      <c r="B38" s="25" t="s">
        <v>46</v>
      </c>
      <c r="C38" s="19"/>
      <c r="D38" s="1"/>
      <c r="E38" s="20" t="s">
        <v>10</v>
      </c>
      <c r="F38" s="3">
        <f>_xlfn.XLOOKUP(E38,'Monthly Pay'!A:A,'Monthly Pay'!C:C)</f>
        <v>25000</v>
      </c>
      <c r="G38" s="3"/>
      <c r="H38" s="2"/>
      <c r="I38" s="1"/>
      <c r="J38" s="1"/>
    </row>
    <row r="39" spans="1:10">
      <c r="A39" s="1"/>
      <c r="B39" s="25" t="s">
        <v>46</v>
      </c>
      <c r="C39" s="19"/>
      <c r="D39" s="1"/>
      <c r="E39" s="20" t="s">
        <v>11</v>
      </c>
      <c r="F39" s="3">
        <f>_xlfn.XLOOKUP(E39,'Monthly Pay'!A:A,'Monthly Pay'!C:C)</f>
        <v>15000</v>
      </c>
      <c r="G39" s="3"/>
      <c r="H39" s="2"/>
      <c r="I39" s="1"/>
      <c r="J39" s="1"/>
    </row>
    <row r="40" spans="1:10">
      <c r="A40" s="1"/>
      <c r="B40" s="25" t="s">
        <v>46</v>
      </c>
      <c r="C40" s="19"/>
      <c r="D40" s="1"/>
      <c r="E40" s="20"/>
      <c r="F40" s="3"/>
      <c r="G40" s="3"/>
      <c r="H40" s="2"/>
      <c r="I40" s="1"/>
      <c r="J40" s="1"/>
    </row>
    <row r="41" spans="1:10">
      <c r="A41" s="1" t="s">
        <v>27</v>
      </c>
      <c r="B41" s="1" t="s">
        <v>48</v>
      </c>
      <c r="C41" s="19"/>
      <c r="D41" s="3" t="s">
        <v>3</v>
      </c>
      <c r="E41" s="3" t="s">
        <v>3</v>
      </c>
      <c r="F41" s="3">
        <f>_xlfn.XLOOKUP(E41,'Monthly Pay'!A:A,'Monthly Pay'!C:C)</f>
        <v>30000</v>
      </c>
      <c r="G41" s="3"/>
      <c r="H41" s="2">
        <v>46023</v>
      </c>
      <c r="I41" s="1"/>
      <c r="J41" s="1" t="s">
        <v>49</v>
      </c>
    </row>
    <row r="42" spans="1:10">
      <c r="A42" s="1"/>
      <c r="B42" s="25" t="s">
        <v>48</v>
      </c>
      <c r="C42" s="19"/>
      <c r="D42" s="3"/>
      <c r="E42" s="20"/>
      <c r="F42" s="3"/>
      <c r="G42" s="3"/>
      <c r="H42" s="2"/>
      <c r="I42" s="1"/>
      <c r="J42" s="1"/>
    </row>
    <row r="43" spans="1:10">
      <c r="A43" s="1"/>
      <c r="B43" s="25" t="s">
        <v>48</v>
      </c>
      <c r="C43" s="19"/>
      <c r="D43" s="3"/>
      <c r="E43" s="20"/>
      <c r="F43" s="3"/>
      <c r="G43" s="3"/>
      <c r="H43" s="2"/>
      <c r="I43" s="1"/>
      <c r="J43" s="1"/>
    </row>
    <row r="44" spans="1:10">
      <c r="A44" s="1"/>
      <c r="B44" s="25" t="s">
        <v>48</v>
      </c>
      <c r="C44" s="19"/>
      <c r="D44" s="3"/>
      <c r="E44" s="20"/>
      <c r="F44" s="3"/>
      <c r="G44" s="3"/>
      <c r="H44" s="2"/>
      <c r="I44" s="1"/>
      <c r="J44" s="1"/>
    </row>
    <row r="45" spans="1:10">
      <c r="A45" s="1"/>
      <c r="B45" s="25" t="s">
        <v>48</v>
      </c>
      <c r="C45" s="19"/>
      <c r="D45" s="3"/>
      <c r="E45" s="20"/>
      <c r="F45" s="3"/>
      <c r="G45" s="3"/>
      <c r="H45" s="2"/>
      <c r="I45" s="1"/>
      <c r="J45" s="1"/>
    </row>
    <row r="46" spans="1:10">
      <c r="A46" s="1" t="s">
        <v>27</v>
      </c>
      <c r="B46" s="1" t="s">
        <v>50</v>
      </c>
      <c r="C46" s="19"/>
      <c r="D46" s="3" t="s">
        <v>9</v>
      </c>
      <c r="E46" s="3" t="s">
        <v>9</v>
      </c>
      <c r="F46" s="3">
        <f>_xlfn.XLOOKUP(E46,'Monthly Pay'!A:A,'Monthly Pay'!C:C)</f>
        <v>45000</v>
      </c>
      <c r="G46" s="3"/>
      <c r="H46" s="2">
        <v>45717</v>
      </c>
      <c r="I46" s="1"/>
      <c r="J46" s="1" t="s">
        <v>51</v>
      </c>
    </row>
    <row r="47" spans="1:10">
      <c r="A47" s="8"/>
      <c r="B47" s="25" t="s">
        <v>50</v>
      </c>
      <c r="C47" s="21"/>
      <c r="D47" s="1"/>
      <c r="E47" s="22" t="s">
        <v>52</v>
      </c>
      <c r="F47" s="3">
        <f>_xlfn.XLOOKUP(E47,'Monthly Pay'!A:A,'Monthly Pay'!C:C)</f>
        <v>8500</v>
      </c>
      <c r="G47" s="9"/>
      <c r="H47" s="10"/>
      <c r="I47" s="8"/>
      <c r="J47" s="8"/>
    </row>
    <row r="48" spans="1:10">
      <c r="A48" s="8"/>
      <c r="B48" s="25" t="s">
        <v>50</v>
      </c>
      <c r="C48" s="21"/>
      <c r="D48" s="1"/>
      <c r="E48" s="22"/>
      <c r="F48" s="3"/>
      <c r="G48" s="9"/>
      <c r="H48" s="10"/>
      <c r="I48" s="8"/>
      <c r="J48" s="8"/>
    </row>
    <row r="49" spans="1:10">
      <c r="A49" s="8"/>
      <c r="B49" s="25" t="s">
        <v>50</v>
      </c>
      <c r="C49" s="21"/>
      <c r="D49" s="1"/>
      <c r="E49" s="22"/>
      <c r="F49" s="3"/>
      <c r="G49" s="9"/>
      <c r="H49" s="10"/>
      <c r="I49" s="8"/>
      <c r="J49" s="8"/>
    </row>
    <row r="50" spans="1:10">
      <c r="A50" s="8"/>
      <c r="B50" s="25" t="s">
        <v>50</v>
      </c>
      <c r="C50" s="21"/>
      <c r="D50" s="1"/>
      <c r="E50" s="22"/>
      <c r="F50" s="3"/>
      <c r="G50" s="9"/>
      <c r="H50" s="10"/>
      <c r="I50" s="8"/>
      <c r="J50" s="8"/>
    </row>
    <row r="51" spans="1:10">
      <c r="A51" s="8" t="s">
        <v>27</v>
      </c>
      <c r="B51" s="28" t="s">
        <v>53</v>
      </c>
      <c r="C51" s="21"/>
      <c r="D51" s="3" t="s">
        <v>9</v>
      </c>
      <c r="E51" s="3" t="s">
        <v>9</v>
      </c>
      <c r="F51" s="3">
        <f>_xlfn.XLOOKUP(E51,'Monthly Pay'!A:A,'Monthly Pay'!C:C)</f>
        <v>45000</v>
      </c>
      <c r="G51" s="9"/>
      <c r="H51" s="10">
        <v>45749</v>
      </c>
      <c r="I51" s="8"/>
      <c r="J51" s="8" t="s">
        <v>54</v>
      </c>
    </row>
    <row r="52" spans="1:10">
      <c r="A52" s="8"/>
      <c r="B52" s="26" t="s">
        <v>53</v>
      </c>
      <c r="C52" s="21"/>
      <c r="D52" s="1"/>
      <c r="E52" s="22" t="s">
        <v>15</v>
      </c>
      <c r="F52" s="3">
        <f>_xlfn.XLOOKUP(E52,'Monthly Pay'!A:A,'Monthly Pay'!C:C)</f>
        <v>15000</v>
      </c>
      <c r="G52" s="9"/>
      <c r="H52" s="10"/>
      <c r="I52" s="8"/>
      <c r="J52" s="8"/>
    </row>
    <row r="53" spans="1:10">
      <c r="A53" s="8"/>
      <c r="B53" s="26" t="s">
        <v>53</v>
      </c>
      <c r="C53" s="21"/>
      <c r="D53" s="1"/>
      <c r="E53" s="22"/>
      <c r="F53" s="3"/>
      <c r="G53" s="9"/>
      <c r="H53" s="10"/>
      <c r="I53" s="8"/>
      <c r="J53" s="8"/>
    </row>
    <row r="54" spans="1:10">
      <c r="A54" s="8"/>
      <c r="B54" s="26" t="s">
        <v>53</v>
      </c>
      <c r="C54" s="21"/>
      <c r="D54" s="1"/>
      <c r="E54" s="22"/>
      <c r="F54" s="3"/>
      <c r="G54" s="9"/>
      <c r="H54" s="10"/>
      <c r="I54" s="8"/>
      <c r="J54" s="8"/>
    </row>
    <row r="55" spans="1:10">
      <c r="A55" s="8"/>
      <c r="B55" s="26" t="s">
        <v>53</v>
      </c>
      <c r="C55" s="21"/>
      <c r="D55" s="1"/>
      <c r="E55" s="22"/>
      <c r="F55" s="3"/>
      <c r="G55" s="9"/>
      <c r="H55" s="10"/>
      <c r="I55" s="8"/>
      <c r="J55" s="8"/>
    </row>
    <row r="56" spans="1:10">
      <c r="A56" s="1" t="s">
        <v>33</v>
      </c>
      <c r="B56" s="7" t="s">
        <v>55</v>
      </c>
      <c r="C56" s="19"/>
      <c r="D56" s="3" t="s">
        <v>4</v>
      </c>
      <c r="E56" s="3" t="s">
        <v>4</v>
      </c>
      <c r="F56" s="3">
        <f>_xlfn.XLOOKUP(E56,'Monthly Pay'!A:A,'Monthly Pay'!C:C)</f>
        <v>30000</v>
      </c>
      <c r="G56" s="3"/>
      <c r="H56" s="1"/>
      <c r="I56" s="1"/>
      <c r="J56" s="1"/>
    </row>
    <row r="57" spans="1:10">
      <c r="A57" s="1"/>
      <c r="B57" s="27" t="s">
        <v>55</v>
      </c>
      <c r="C57" s="19"/>
      <c r="D57" s="3"/>
      <c r="E57" s="20"/>
      <c r="F57" s="3"/>
      <c r="G57" s="3"/>
      <c r="H57" s="1"/>
      <c r="I57" s="1"/>
      <c r="J57" s="1"/>
    </row>
    <row r="58" spans="1:10">
      <c r="A58" s="1"/>
      <c r="B58" s="27" t="s">
        <v>55</v>
      </c>
      <c r="C58" s="19"/>
      <c r="D58" s="3"/>
      <c r="E58" s="20"/>
      <c r="F58" s="3"/>
      <c r="G58" s="3"/>
      <c r="H58" s="1"/>
      <c r="I58" s="1"/>
      <c r="J58" s="1"/>
    </row>
    <row r="59" spans="1:10">
      <c r="A59" s="1"/>
      <c r="B59" s="27" t="s">
        <v>55</v>
      </c>
      <c r="C59" s="19"/>
      <c r="D59" s="3"/>
      <c r="E59" s="20"/>
      <c r="F59" s="3"/>
      <c r="G59" s="3"/>
      <c r="H59" s="1"/>
      <c r="I59" s="1"/>
      <c r="J59" s="1"/>
    </row>
    <row r="60" spans="1:10">
      <c r="A60" s="1"/>
      <c r="B60" s="27" t="s">
        <v>55</v>
      </c>
      <c r="C60" s="19"/>
      <c r="D60" s="3"/>
      <c r="E60" s="20"/>
      <c r="F60" s="3"/>
      <c r="G60" s="3"/>
      <c r="H60" s="1"/>
      <c r="I60" s="1"/>
      <c r="J60" s="1"/>
    </row>
    <row r="61" spans="1:10">
      <c r="A61" s="1" t="s">
        <v>33</v>
      </c>
      <c r="B61" s="7" t="s">
        <v>56</v>
      </c>
      <c r="C61" s="19"/>
      <c r="D61" s="3" t="s">
        <v>4</v>
      </c>
      <c r="E61" s="3" t="s">
        <v>4</v>
      </c>
      <c r="F61" s="3">
        <f>_xlfn.XLOOKUP(E61,'Monthly Pay'!A:A,'Monthly Pay'!C:C)</f>
        <v>30000</v>
      </c>
      <c r="G61" s="3"/>
      <c r="H61" s="1"/>
      <c r="I61" s="1"/>
      <c r="J61" s="1"/>
    </row>
    <row r="62" spans="1:10">
      <c r="A62" s="1"/>
      <c r="B62" s="27" t="s">
        <v>56</v>
      </c>
      <c r="C62" s="19"/>
      <c r="D62" s="3"/>
      <c r="E62" s="20"/>
      <c r="F62" s="3"/>
      <c r="G62" s="3"/>
      <c r="H62" s="1"/>
      <c r="I62" s="1"/>
      <c r="J62" s="1"/>
    </row>
    <row r="63" spans="1:10">
      <c r="A63" s="1"/>
      <c r="B63" s="27" t="s">
        <v>56</v>
      </c>
      <c r="C63" s="19"/>
      <c r="D63" s="3"/>
      <c r="E63" s="20"/>
      <c r="F63" s="3"/>
      <c r="G63" s="3"/>
      <c r="H63" s="1"/>
      <c r="I63" s="1"/>
      <c r="J63" s="1"/>
    </row>
    <row r="64" spans="1:10">
      <c r="A64" s="1"/>
      <c r="B64" s="27" t="s">
        <v>56</v>
      </c>
      <c r="C64" s="19"/>
      <c r="D64" s="3"/>
      <c r="E64" s="20"/>
      <c r="F64" s="3"/>
      <c r="G64" s="3"/>
      <c r="H64" s="1"/>
      <c r="I64" s="1"/>
      <c r="J64" s="1"/>
    </row>
    <row r="65" spans="1:10">
      <c r="A65" s="8"/>
      <c r="B65" s="27" t="s">
        <v>56</v>
      </c>
      <c r="C65" s="21"/>
      <c r="D65" s="9"/>
      <c r="E65" s="22"/>
      <c r="F65" s="3"/>
      <c r="G65" s="9"/>
      <c r="H65" s="8"/>
      <c r="I65" s="8"/>
      <c r="J65" s="8"/>
    </row>
    <row r="66" spans="1:10">
      <c r="A66" s="1" t="s">
        <v>27</v>
      </c>
      <c r="B66" s="1" t="s">
        <v>57</v>
      </c>
      <c r="C66" s="1"/>
      <c r="D66" s="1" t="s">
        <v>16</v>
      </c>
      <c r="E66" s="1" t="s">
        <v>16</v>
      </c>
      <c r="F66" s="3">
        <f>_xlfn.XLOOKUP(E66,'Monthly Pay'!A:A,'Monthly Pay'!C:C)</f>
        <v>30000</v>
      </c>
      <c r="G66" s="3"/>
      <c r="H66" s="1"/>
      <c r="I66" s="1"/>
      <c r="J66" s="1"/>
    </row>
    <row r="67" spans="1:10">
      <c r="A67" s="1"/>
      <c r="B67" s="25" t="s">
        <v>57</v>
      </c>
      <c r="C67" s="1"/>
      <c r="D67" s="1"/>
      <c r="E67" s="1" t="s">
        <v>9</v>
      </c>
      <c r="F67" s="3">
        <f>_xlfn.XLOOKUP(E67,'Monthly Pay'!A:A,'Monthly Pay'!C:C)</f>
        <v>45000</v>
      </c>
      <c r="G67" s="3"/>
      <c r="H67" s="1"/>
      <c r="I67" s="1"/>
      <c r="J67" s="1"/>
    </row>
    <row r="68" spans="1:10">
      <c r="A68" s="1"/>
      <c r="B68" s="25" t="s">
        <v>57</v>
      </c>
      <c r="C68" s="1"/>
      <c r="D68" s="1"/>
      <c r="E68" s="1"/>
      <c r="F68" s="3"/>
      <c r="G68" s="3"/>
      <c r="H68" s="1"/>
      <c r="I68" s="1"/>
      <c r="J68" s="1"/>
    </row>
    <row r="69" spans="1:10">
      <c r="A69" s="1"/>
      <c r="B69" s="25" t="s">
        <v>57</v>
      </c>
      <c r="C69" s="1"/>
      <c r="D69" s="1"/>
      <c r="E69" s="1"/>
      <c r="F69" s="3"/>
      <c r="G69" s="3"/>
      <c r="H69" s="1"/>
      <c r="I69" s="1"/>
      <c r="J69" s="1"/>
    </row>
    <row r="70" spans="1:10">
      <c r="A70" s="8"/>
      <c r="B70" s="26" t="s">
        <v>57</v>
      </c>
      <c r="C70" s="8"/>
      <c r="D70" s="8"/>
      <c r="E70" s="8"/>
      <c r="F70" s="9"/>
      <c r="G70" s="9"/>
      <c r="H70" s="8"/>
      <c r="I70" s="8"/>
      <c r="J70" s="8"/>
    </row>
    <row r="71" spans="1:10">
      <c r="A71" s="1" t="s">
        <v>33</v>
      </c>
      <c r="B71" s="1" t="s">
        <v>58</v>
      </c>
      <c r="C71" s="1"/>
      <c r="D71" s="1" t="s">
        <v>4</v>
      </c>
      <c r="E71" s="1" t="s">
        <v>4</v>
      </c>
      <c r="F71" s="3">
        <f>_xlfn.XLOOKUP(E71,'Monthly Pay'!A:A,'Monthly Pay'!C:C)</f>
        <v>30000</v>
      </c>
      <c r="G71" s="1"/>
      <c r="H71" s="1"/>
      <c r="I71" s="1"/>
      <c r="J71" s="1" t="s">
        <v>32</v>
      </c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13D6-62A8-4A4F-8227-2C7C073814F1}">
  <dimension ref="A1:D19"/>
  <sheetViews>
    <sheetView workbookViewId="0">
      <selection activeCell="C3" sqref="C3"/>
    </sheetView>
  </sheetViews>
  <sheetFormatPr defaultRowHeight="15"/>
  <cols>
    <col min="1" max="1" width="20.5703125" customWidth="1"/>
    <col min="2" max="2" width="16" customWidth="1"/>
    <col min="3" max="3" width="49.7109375" customWidth="1"/>
  </cols>
  <sheetData>
    <row r="1" spans="1:4">
      <c r="A1" s="4" t="s">
        <v>19</v>
      </c>
      <c r="B1" s="4" t="s">
        <v>59</v>
      </c>
      <c r="C1" s="4" t="s">
        <v>26</v>
      </c>
      <c r="D1" s="30"/>
    </row>
    <row r="2" spans="1:4" ht="76.5">
      <c r="A2" s="33" t="s">
        <v>34</v>
      </c>
      <c r="B2" s="33" t="s">
        <v>60</v>
      </c>
      <c r="C2" s="34" t="s">
        <v>61</v>
      </c>
    </row>
    <row r="3" spans="1:4" ht="60.75">
      <c r="A3" s="33" t="s">
        <v>38</v>
      </c>
      <c r="B3" s="33" t="s">
        <v>60</v>
      </c>
      <c r="C3" s="34" t="s">
        <v>62</v>
      </c>
    </row>
    <row r="4" spans="1:4" ht="76.5">
      <c r="A4" s="33" t="s">
        <v>36</v>
      </c>
      <c r="B4" s="33" t="s">
        <v>60</v>
      </c>
      <c r="C4" s="34" t="s">
        <v>63</v>
      </c>
    </row>
    <row r="5" spans="1:4" ht="60.75">
      <c r="A5" s="33" t="s">
        <v>46</v>
      </c>
      <c r="B5" s="33" t="s">
        <v>60</v>
      </c>
      <c r="C5" s="34" t="s">
        <v>64</v>
      </c>
    </row>
    <row r="6" spans="1:4">
      <c r="A6" s="31" t="s">
        <v>65</v>
      </c>
      <c r="B6" s="33" t="s">
        <v>60</v>
      </c>
      <c r="C6" s="34" t="s">
        <v>66</v>
      </c>
    </row>
    <row r="7" spans="1:4">
      <c r="A7" s="31" t="s">
        <v>67</v>
      </c>
      <c r="B7" s="33" t="s">
        <v>60</v>
      </c>
      <c r="C7" s="34" t="s">
        <v>68</v>
      </c>
    </row>
    <row r="8" spans="1:4">
      <c r="A8" s="33" t="s">
        <v>43</v>
      </c>
      <c r="B8" s="33" t="s">
        <v>4</v>
      </c>
      <c r="C8" s="34" t="s">
        <v>69</v>
      </c>
    </row>
    <row r="9" spans="1:4">
      <c r="A9" s="33" t="s">
        <v>58</v>
      </c>
      <c r="B9" s="33" t="s">
        <v>4</v>
      </c>
      <c r="C9" s="34" t="s">
        <v>69</v>
      </c>
    </row>
    <row r="10" spans="1:4">
      <c r="A10" s="33"/>
      <c r="B10" s="33"/>
      <c r="C10" s="34"/>
    </row>
    <row r="11" spans="1:4">
      <c r="A11" s="33"/>
      <c r="B11" s="33"/>
      <c r="C11" s="34"/>
    </row>
    <row r="12" spans="1:4">
      <c r="B12" s="31"/>
      <c r="C12" s="35"/>
    </row>
    <row r="13" spans="1:4">
      <c r="B13" s="31"/>
      <c r="C13" s="35"/>
    </row>
    <row r="14" spans="1:4">
      <c r="A14" s="31"/>
      <c r="B14" s="31"/>
      <c r="C14" s="35"/>
    </row>
    <row r="15" spans="1:4">
      <c r="A15" s="31"/>
      <c r="B15" s="31"/>
      <c r="C15" s="35"/>
    </row>
    <row r="16" spans="1:4">
      <c r="A16" s="31"/>
      <c r="B16" s="31"/>
      <c r="C16" s="35"/>
    </row>
    <row r="17" spans="1:3">
      <c r="A17" s="31"/>
      <c r="B17" s="31"/>
      <c r="C17" s="35"/>
    </row>
    <row r="18" spans="1:3">
      <c r="A18" s="31"/>
      <c r="B18" s="31"/>
      <c r="C18" s="35"/>
    </row>
    <row r="19" spans="1:3">
      <c r="A19" s="32"/>
      <c r="B19" s="32"/>
      <c r="C19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7BEE-5A4B-4C21-AE87-AC291116C997}">
  <dimension ref="A1:M16"/>
  <sheetViews>
    <sheetView tabSelected="1" workbookViewId="0">
      <selection activeCell="H2" sqref="H2"/>
    </sheetView>
  </sheetViews>
  <sheetFormatPr defaultRowHeight="15"/>
  <cols>
    <col min="1" max="1" width="19" customWidth="1"/>
    <col min="2" max="2" width="13.140625" customWidth="1"/>
    <col min="3" max="3" width="39.7109375" customWidth="1"/>
    <col min="4" max="4" width="19.7109375" customWidth="1"/>
    <col min="5" max="5" width="20" customWidth="1"/>
    <col min="6" max="6" width="18.42578125" customWidth="1"/>
    <col min="7" max="7" width="12.42578125" customWidth="1"/>
    <col min="8" max="8" width="22" customWidth="1"/>
    <col min="10" max="10" width="20.140625" customWidth="1"/>
    <col min="11" max="11" width="24" customWidth="1"/>
    <col min="12" max="12" width="14.28515625" customWidth="1"/>
    <col min="13" max="13" width="20.7109375" customWidth="1"/>
  </cols>
  <sheetData>
    <row r="1" spans="1:13" ht="33">
      <c r="A1" s="23" t="s">
        <v>19</v>
      </c>
      <c r="B1" s="24" t="s">
        <v>70</v>
      </c>
      <c r="C1" s="24" t="s">
        <v>21</v>
      </c>
      <c r="D1" s="24" t="s">
        <v>22</v>
      </c>
      <c r="E1" s="24" t="s">
        <v>71</v>
      </c>
      <c r="F1" s="24" t="s">
        <v>72</v>
      </c>
      <c r="G1" s="24" t="s">
        <v>73</v>
      </c>
      <c r="H1" s="24" t="s">
        <v>26</v>
      </c>
      <c r="J1" s="29" t="s">
        <v>19</v>
      </c>
      <c r="K1" s="29" t="s">
        <v>22</v>
      </c>
      <c r="L1" s="29" t="s">
        <v>71</v>
      </c>
      <c r="M1" s="29" t="s">
        <v>72</v>
      </c>
    </row>
    <row r="2" spans="1:13" ht="16.5">
      <c r="A2" s="15" t="s">
        <v>28</v>
      </c>
      <c r="B2" s="16" t="s">
        <v>27</v>
      </c>
      <c r="C2" s="12" t="str" cm="1">
        <f t="array" ref="C2">_xlfn.TEXTJOIN(",",TRUE,IF(('Project List'!B:B=Summary!A2)*('Project List'!E:E&lt;&gt;""),'Project List'!E:E,""))</f>
        <v>Rupali,Parimal,Dipansu,Hassan,Himanshu</v>
      </c>
      <c r="D2" s="12">
        <f>SUMIF('Project List'!B:B,A2,'Project List'!F:F)</f>
        <v>93500</v>
      </c>
      <c r="E2" s="12"/>
      <c r="F2" s="13">
        <f>E2-D2</f>
        <v>-93500</v>
      </c>
      <c r="G2" s="14"/>
      <c r="H2" s="12"/>
      <c r="J2" s="1" t="s">
        <v>28</v>
      </c>
      <c r="K2" s="1">
        <f>_xlfn.XLOOKUP($J$2,$A:$A,D:D)</f>
        <v>93500</v>
      </c>
      <c r="L2" s="1">
        <f t="shared" ref="L2:M2" si="0">_xlfn.XLOOKUP($J$2,$A:$A,E:E)</f>
        <v>0</v>
      </c>
      <c r="M2" s="1">
        <f t="shared" si="0"/>
        <v>-93500</v>
      </c>
    </row>
    <row r="3" spans="1:13" ht="16.5">
      <c r="A3" s="15" t="str">
        <f>'Project List'!B7</f>
        <v>RXIL</v>
      </c>
      <c r="B3" s="17" t="s">
        <v>33</v>
      </c>
      <c r="C3" s="12" t="str" cm="1">
        <f t="array" ref="C3">_xlfn.TEXTJOIN(",",TRUE,IF(('Project List'!B:B=Summary!A3)*('Project List'!E:E&lt;&gt;""),'Project List'!E:E,""))</f>
        <v>Biswajeet,Shruti,Laxman,Faizan,Siddhi</v>
      </c>
      <c r="D3" s="12">
        <f>SUMIF('Project List'!B:B,A3,'Project List'!F:F)</f>
        <v>93500</v>
      </c>
      <c r="E3" s="12"/>
      <c r="F3" s="13"/>
      <c r="G3" s="14"/>
      <c r="H3" s="12"/>
    </row>
    <row r="4" spans="1:13" ht="16.5">
      <c r="A4" s="15" t="str">
        <f>'Project List'!B12</f>
        <v>Lumina</v>
      </c>
      <c r="B4" s="18" t="s">
        <v>33</v>
      </c>
      <c r="C4" s="12" t="str" cm="1">
        <f t="array" ref="C4">_xlfn.TEXTJOIN(",",TRUE,IF(('Project List'!B:B=Summary!A4)*('Project List'!E:E&lt;&gt;""),'Project List'!E:E,""))</f>
        <v>Biswajeet,Sanchit,Parimal</v>
      </c>
      <c r="D4" s="12">
        <f>SUMIF('Project List'!B:B,A4,'Project List'!F:F)</f>
        <v>105000</v>
      </c>
      <c r="E4" s="12"/>
      <c r="F4" s="13"/>
      <c r="G4" s="14"/>
      <c r="H4" s="12"/>
    </row>
    <row r="5" spans="1:13" ht="16.5">
      <c r="A5" s="15" t="str">
        <f>'Project List'!B17</f>
        <v>LVP</v>
      </c>
      <c r="B5" s="17" t="s">
        <v>33</v>
      </c>
      <c r="C5" s="12" t="str" cm="1">
        <f t="array" ref="C5">_xlfn.TEXTJOIN(",",TRUE,IF(('Project List'!B:B=Summary!A5)*('Project List'!E:E&lt;&gt;""),'Project List'!E:E,""))</f>
        <v>Biswajeet,Parimal</v>
      </c>
      <c r="D5" s="12">
        <f>SUMIF('Project List'!B:B,A5,'Project List'!F:F)</f>
        <v>75000</v>
      </c>
      <c r="E5" s="12"/>
      <c r="F5" s="13"/>
      <c r="G5" s="14"/>
      <c r="H5" s="12"/>
    </row>
    <row r="6" spans="1:13" ht="16.5">
      <c r="A6" s="15" t="str">
        <f>'Project List'!B22</f>
        <v>Advantage go</v>
      </c>
      <c r="B6" s="18" t="s">
        <v>27</v>
      </c>
      <c r="C6" s="12" t="str" cm="1">
        <f t="array" ref="C6">_xlfn.TEXTJOIN(",",TRUE,IF(('Project List'!B:B=Summary!A6)*('Project List'!E:E&lt;&gt;""),'Project List'!E:E,""))</f>
        <v>Rupali</v>
      </c>
      <c r="D6" s="12">
        <f>SUMIF('Project List'!B:B,A6,'Project List'!F:F)</f>
        <v>30000</v>
      </c>
      <c r="E6" s="12"/>
      <c r="F6" s="13"/>
      <c r="G6" s="14"/>
      <c r="H6" s="12"/>
    </row>
    <row r="7" spans="1:13" ht="16.5">
      <c r="A7" s="15" t="str">
        <f>'Project List'!B27</f>
        <v>UNO Ai</v>
      </c>
      <c r="B7" s="17" t="s">
        <v>27</v>
      </c>
      <c r="C7" s="12" t="str" cm="1">
        <f t="array" ref="C7">_xlfn.TEXTJOIN(",",TRUE,IF(('Project List'!B:B=Summary!A7)*('Project List'!E:E&lt;&gt;""),'Project List'!E:E,""))</f>
        <v>Rupali,Dipansu,Hassan,Gulab</v>
      </c>
      <c r="D7" s="12">
        <f>SUMIF('Project List'!B:B,A7,'Project List'!F:F)</f>
        <v>90000</v>
      </c>
      <c r="E7" s="12"/>
      <c r="F7" s="13"/>
      <c r="G7" s="14"/>
      <c r="H7" s="12"/>
    </row>
    <row r="8" spans="1:13" ht="16.5">
      <c r="A8" s="15" t="str">
        <f>'Project List'!B32</f>
        <v>Decklar</v>
      </c>
      <c r="B8" s="18" t="s">
        <v>27</v>
      </c>
      <c r="C8" s="12" t="str" cm="1">
        <f t="array" ref="C8">_xlfn.TEXTJOIN(",",TRUE,IF(('Project List'!B:B=Summary!A8)*('Project List'!E:E&lt;&gt;""),'Project List'!E:E,""))</f>
        <v>Parimal,Laxman,Gulab,Himanshu</v>
      </c>
      <c r="D8" s="12">
        <f>SUMIF('Project List'!B:B,A8,'Project List'!F:F)</f>
        <v>88500</v>
      </c>
      <c r="E8" s="12"/>
      <c r="F8" s="13"/>
      <c r="G8" s="14"/>
      <c r="H8" s="12"/>
    </row>
    <row r="9" spans="1:13" ht="16.5">
      <c r="A9" s="15" t="str">
        <f>'Project List'!B36</f>
        <v>Mehery</v>
      </c>
      <c r="B9" s="17" t="s">
        <v>33</v>
      </c>
      <c r="C9" s="12" t="str" cm="1">
        <f t="array" ref="C9">_xlfn.TEXTJOIN(",",TRUE,IF(('Project List'!B:B=Summary!A9)*('Project List'!E:E&lt;&gt;""),'Project List'!E:E,""))</f>
        <v>Biswajeet,Gulab,Shruti,Laxman</v>
      </c>
      <c r="D9" s="12">
        <f>SUMIF('Project List'!B:B,A9,'Project List'!F:F)</f>
        <v>120000</v>
      </c>
      <c r="E9" s="12"/>
      <c r="F9" s="13"/>
      <c r="G9" s="14"/>
      <c r="H9" s="12"/>
    </row>
    <row r="10" spans="1:13" ht="16.5">
      <c r="A10" s="15" t="str">
        <f>'Project List'!B41</f>
        <v>Annadarpan phase 2</v>
      </c>
      <c r="B10" s="18" t="s">
        <v>27</v>
      </c>
      <c r="C10" s="12" t="str" cm="1">
        <f t="array" ref="C10">_xlfn.TEXTJOIN(",",TRUE,IF(('Project List'!B:B=Summary!A10)*('Project List'!E:E&lt;&gt;""),'Project List'!E:E,""))</f>
        <v>Rupali</v>
      </c>
      <c r="D10" s="12">
        <f>SUMIF('Project List'!B:B,A10,'Project List'!F:F)</f>
        <v>30000</v>
      </c>
      <c r="E10" s="12"/>
      <c r="F10" s="13"/>
      <c r="G10" s="14"/>
      <c r="H10" s="12"/>
    </row>
    <row r="11" spans="1:13" ht="16.5">
      <c r="A11" s="15" t="str">
        <f>'Project List'!B46</f>
        <v>Arjas Steel</v>
      </c>
      <c r="B11" s="17" t="s">
        <v>27</v>
      </c>
      <c r="C11" s="12" t="str" cm="1">
        <f t="array" ref="C11">_xlfn.TEXTJOIN(",",TRUE,IF(('Project List'!B:B=Summary!A11)*('Project List'!E:E&lt;&gt;""),'Project List'!E:E,""))</f>
        <v>Sumit,Aayushman</v>
      </c>
      <c r="D11" s="12">
        <f>SUMIF('Project List'!B:B,A11,'Project List'!F:F)</f>
        <v>53500</v>
      </c>
      <c r="E11" s="12"/>
      <c r="F11" s="13"/>
      <c r="G11" s="14"/>
      <c r="H11" s="12"/>
    </row>
    <row r="12" spans="1:13" ht="16.5">
      <c r="A12" s="15" t="str">
        <f>'Project List'!B51</f>
        <v>ASG</v>
      </c>
      <c r="B12" s="18" t="s">
        <v>27</v>
      </c>
      <c r="C12" s="12" t="str" cm="1">
        <f t="array" ref="C12">_xlfn.TEXTJOIN(",",TRUE,IF(('Project List'!B:B=Summary!A12)*('Project List'!E:E&lt;&gt;""),'Project List'!E:E,""))</f>
        <v>Sumit,Swarup</v>
      </c>
      <c r="D12" s="12">
        <f>SUMIF('Project List'!B:B,A12,'Project List'!F:F)</f>
        <v>60000</v>
      </c>
      <c r="E12" s="12"/>
      <c r="F12" s="13"/>
      <c r="G12" s="14"/>
      <c r="H12" s="12"/>
    </row>
    <row r="13" spans="1:13" ht="16.5">
      <c r="A13" s="11" t="str">
        <f>'Project List'!B56</f>
        <v>Jio Blackrock</v>
      </c>
      <c r="B13" s="17" t="s">
        <v>33</v>
      </c>
      <c r="C13" s="12" t="str" cm="1">
        <f t="array" ref="C13">_xlfn.TEXTJOIN(",",TRUE,IF(('Project List'!B:B=Summary!A13)*('Project List'!E:E&lt;&gt;""),'Project List'!E:E,""))</f>
        <v>Parimal</v>
      </c>
      <c r="D13" s="12">
        <f>SUMIF('Project List'!B:B,A13,'Project List'!F:F)</f>
        <v>30000</v>
      </c>
      <c r="E13" s="12"/>
      <c r="F13" s="13"/>
      <c r="G13" s="14"/>
      <c r="H13" s="12"/>
    </row>
    <row r="14" spans="1:13" ht="16.5">
      <c r="A14" s="11" t="str">
        <f>'Project List'!B61</f>
        <v>Paraviste</v>
      </c>
      <c r="B14" s="18" t="s">
        <v>33</v>
      </c>
      <c r="C14" s="12" t="str" cm="1">
        <f t="array" ref="C14">_xlfn.TEXTJOIN(",",TRUE,IF(('Project List'!B:B=Summary!A14)*('Project List'!E:E&lt;&gt;""),'Project List'!E:E,""))</f>
        <v>Parimal</v>
      </c>
      <c r="D14" s="12">
        <f>SUMIF('Project List'!B:B,A14,'Project List'!F:F)</f>
        <v>30000</v>
      </c>
      <c r="E14" s="12"/>
      <c r="F14" s="13"/>
      <c r="G14" s="14"/>
      <c r="H14" s="12"/>
    </row>
    <row r="15" spans="1:13" ht="16.5">
      <c r="A15" s="11" t="str">
        <f>'Project List'!B66</f>
        <v>Arjas SAP VAPT</v>
      </c>
      <c r="B15" s="17" t="s">
        <v>27</v>
      </c>
      <c r="C15" s="12" t="str" cm="1">
        <f t="array" ref="C15">_xlfn.TEXTJOIN(",",TRUE,IF(('Project List'!B:B=Summary!A15)*('Project List'!E:E&lt;&gt;""),'Project List'!E:E,""))</f>
        <v>Sanchit,Sumit</v>
      </c>
      <c r="D15" s="12">
        <f>SUMIF('Project List'!B:B,A15,'Project List'!F:F)</f>
        <v>75000</v>
      </c>
      <c r="E15" s="12"/>
      <c r="F15" s="13"/>
      <c r="G15" s="14"/>
      <c r="H15" s="12"/>
    </row>
    <row r="16" spans="1:13" ht="16.5">
      <c r="A16" s="11" t="s">
        <v>58</v>
      </c>
      <c r="B16" s="17" t="s">
        <v>33</v>
      </c>
      <c r="C16" s="12" t="str" cm="1">
        <f t="array" ref="C16">_xlfn.TEXTJOIN(",",TRUE,IF(('Project List'!B:B=Summary!A16)*('Project List'!E:E&lt;&gt;""),'Project List'!E:E,""))</f>
        <v>Parimal</v>
      </c>
      <c r="D16" s="12">
        <f>SUMIF('Project List'!B:B,A16,'Project List'!F:F)</f>
        <v>30000</v>
      </c>
      <c r="E16" s="12"/>
      <c r="F16" s="13"/>
      <c r="G16" s="14"/>
      <c r="H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2026-06-01T04:03:31Z</dcterms:created>
  <dcterms:modified xsi:type="dcterms:W3CDTF">2026-07-02T05:04:55Z</dcterms:modified>
  <cp:category/>
  <cp:contentStatus/>
</cp:coreProperties>
</file>